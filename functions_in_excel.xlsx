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IF" sheetId="1" r:id="rId4"/>
    <sheet state="visible" name="LENGTH" sheetId="2" r:id="rId5"/>
    <sheet state="visible" name="LEFTRIGHT" sheetId="3" r:id="rId6"/>
    <sheet state="visible" name="CONCATENATE" sheetId="4" r:id="rId7"/>
    <sheet state="visible" name="TRIM" sheetId="5" r:id="rId8"/>
  </sheets>
  <definedNames/>
  <calcPr/>
</workbook>
</file>

<file path=xl/sharedStrings.xml><?xml version="1.0" encoding="utf-8"?>
<sst xmlns="http://schemas.openxmlformats.org/spreadsheetml/2006/main" count="619" uniqueCount="79">
  <si>
    <t>Customer_ID</t>
  </si>
  <si>
    <t>Name</t>
  </si>
  <si>
    <t>Gender</t>
  </si>
  <si>
    <t>City</t>
  </si>
  <si>
    <t>Feedback</t>
  </si>
  <si>
    <t>Rahul Sharma</t>
  </si>
  <si>
    <t>Male</t>
  </si>
  <si>
    <t>Mumbai</t>
  </si>
  <si>
    <t>Good</t>
  </si>
  <si>
    <t>Anita Patil</t>
  </si>
  <si>
    <t>Female</t>
  </si>
  <si>
    <t>Pune</t>
  </si>
  <si>
    <t>Nice</t>
  </si>
  <si>
    <t>Total number of Male</t>
  </si>
  <si>
    <t>Amit Verma</t>
  </si>
  <si>
    <t>Delhi</t>
  </si>
  <si>
    <t>Total number of Female</t>
  </si>
  <si>
    <t>Neha Singh</t>
  </si>
  <si>
    <t>Average</t>
  </si>
  <si>
    <t>Rohit</t>
  </si>
  <si>
    <t>Nagpur</t>
  </si>
  <si>
    <t>good</t>
  </si>
  <si>
    <t>Total customer from Mumbai</t>
  </si>
  <si>
    <t>Sneha Kulkarni</t>
  </si>
  <si>
    <t>Excellent</t>
  </si>
  <si>
    <t>Total customer from Pune</t>
  </si>
  <si>
    <t>Vikas Mehta</t>
  </si>
  <si>
    <t>Great</t>
  </si>
  <si>
    <t>Total customer from Delhi</t>
  </si>
  <si>
    <t>Priya Shah</t>
  </si>
  <si>
    <t>Ahmedabad</t>
  </si>
  <si>
    <t>Total customer from Chandigarh</t>
  </si>
  <si>
    <t>Karan Malhotra</t>
  </si>
  <si>
    <t>Bad</t>
  </si>
  <si>
    <t>Total customer from Lucknow</t>
  </si>
  <si>
    <t>Pooja Joshi</t>
  </si>
  <si>
    <t>Total customer from Ahmedabad</t>
  </si>
  <si>
    <t>Aman Khan</t>
  </si>
  <si>
    <t>Bhopal</t>
  </si>
  <si>
    <t>Simran Kaur</t>
  </si>
  <si>
    <t>Chandigarh</t>
  </si>
  <si>
    <t>Total Good Reviews</t>
  </si>
  <si>
    <t>Nikhil Jain</t>
  </si>
  <si>
    <t>Total Bad Reviews</t>
  </si>
  <si>
    <t>Riya Gupta</t>
  </si>
  <si>
    <t>Total Average Reviews</t>
  </si>
  <si>
    <t>Suresh Yadav</t>
  </si>
  <si>
    <t>Lucknow</t>
  </si>
  <si>
    <t>Kavita</t>
  </si>
  <si>
    <t>Indore</t>
  </si>
  <si>
    <t>Deepak Mishra</t>
  </si>
  <si>
    <t>Patna</t>
  </si>
  <si>
    <t>Shweta</t>
  </si>
  <si>
    <t>Arjun Patel</t>
  </si>
  <si>
    <t>Meena Iyer</t>
  </si>
  <si>
    <t>Chennai</t>
  </si>
  <si>
    <t>Rakesh</t>
  </si>
  <si>
    <t>Jaipur</t>
  </si>
  <si>
    <t>Sunita Devi</t>
  </si>
  <si>
    <t>Manish</t>
  </si>
  <si>
    <t>Alka</t>
  </si>
  <si>
    <t>Vinod Kumar</t>
  </si>
  <si>
    <t>Noida</t>
  </si>
  <si>
    <t>Pallavi</t>
  </si>
  <si>
    <t>Harsh</t>
  </si>
  <si>
    <t>Naina</t>
  </si>
  <si>
    <t>Yogesh</t>
  </si>
  <si>
    <t>Nashik</t>
  </si>
  <si>
    <t>Aarti</t>
  </si>
  <si>
    <t>FirstName</t>
  </si>
  <si>
    <t>gender and City</t>
  </si>
  <si>
    <t>Removing unwanted space from name column</t>
  </si>
  <si>
    <t xml:space="preserve">            Rahul Sharma</t>
  </si>
  <si>
    <t>Anita           Patil</t>
  </si>
  <si>
    <t xml:space="preserve">        Neha Singh</t>
  </si>
  <si>
    <t>Sneha      Kulkarni</t>
  </si>
  <si>
    <t>Karan       Malhotra</t>
  </si>
  <si>
    <t xml:space="preserve">       Pooja Joshi</t>
  </si>
  <si>
    <t>Nikhil            Jain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</si>
</sst>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4" fontId="2" numFmtId="0" xfId="0" applyAlignment="1" applyFill="1" applyFont="1">
      <alignment readingOrder="0"/>
    </xf>
    <xf borderId="0" fillId="4" fontId="2" numFmtId="0" xfId="0" applyFont="1"/>
    <xf borderId="0" fillId="5" fontId="2" numFmtId="0" xfId="0" applyAlignment="1" applyFill="1" applyFont="1">
      <alignment readingOrder="0"/>
    </xf>
    <xf borderId="0" fillId="5" fontId="2" numFmtId="0" xfId="0" applyFont="1"/>
    <xf borderId="0" fillId="6" fontId="2" numFmtId="0" xfId="0" applyFill="1" applyFont="1"/>
    <xf borderId="0" fillId="2" fontId="2" numFmtId="0" xfId="0" applyAlignment="1" applyFont="1">
      <alignment readingOrder="0"/>
    </xf>
    <xf borderId="0" fillId="7" fontId="2" numFmtId="0" xfId="0" applyFill="1" applyFont="1"/>
    <xf borderId="0" fillId="0" fontId="2" numFmtId="0" xfId="0" applyAlignment="1" applyFont="1">
      <alignment readingOrder="0"/>
    </xf>
    <xf borderId="0" fillId="8" fontId="2" numFmtId="0" xfId="0" applyFill="1" applyFont="1"/>
    <xf borderId="0" fillId="0" fontId="1" numFmtId="0" xfId="0" applyAlignment="1" applyFont="1">
      <alignment readingOrder="0" vertical="bottom"/>
    </xf>
    <xf borderId="0" fillId="9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101.0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2">
        <v>102.0</v>
      </c>
      <c r="B3" s="3" t="s">
        <v>9</v>
      </c>
      <c r="C3" s="3" t="s">
        <v>10</v>
      </c>
      <c r="D3" s="3" t="s">
        <v>11</v>
      </c>
      <c r="E3" s="3" t="s">
        <v>12</v>
      </c>
      <c r="G3" s="4" t="s">
        <v>13</v>
      </c>
      <c r="H3" s="5">
        <f>COUNTIF(C2:C31,"Male")</f>
        <v>15</v>
      </c>
    </row>
    <row r="4">
      <c r="A4" s="2">
        <v>103.0</v>
      </c>
      <c r="B4" s="3" t="s">
        <v>14</v>
      </c>
      <c r="C4" s="3" t="s">
        <v>6</v>
      </c>
      <c r="D4" s="3" t="s">
        <v>15</v>
      </c>
      <c r="E4" s="3"/>
      <c r="G4" s="4" t="s">
        <v>16</v>
      </c>
      <c r="H4" s="5">
        <f>COUNTIF(C2:C31,"Female")</f>
        <v>15</v>
      </c>
    </row>
    <row r="5">
      <c r="A5" s="2">
        <v>104.0</v>
      </c>
      <c r="B5" s="3" t="s">
        <v>17</v>
      </c>
      <c r="C5" s="3" t="s">
        <v>10</v>
      </c>
      <c r="D5" s="3" t="s">
        <v>7</v>
      </c>
      <c r="E5" s="3" t="s">
        <v>18</v>
      </c>
    </row>
    <row r="6">
      <c r="A6" s="2">
        <v>105.0</v>
      </c>
      <c r="B6" s="3" t="s">
        <v>19</v>
      </c>
      <c r="C6" s="3" t="s">
        <v>6</v>
      </c>
      <c r="D6" s="3" t="s">
        <v>20</v>
      </c>
      <c r="E6" s="3" t="s">
        <v>21</v>
      </c>
      <c r="G6" s="6" t="s">
        <v>22</v>
      </c>
      <c r="H6" s="7">
        <f>COUNTIF(D2:D31,"Mumbai")</f>
        <v>5</v>
      </c>
    </row>
    <row r="7">
      <c r="A7" s="2">
        <v>106.0</v>
      </c>
      <c r="B7" s="3" t="s">
        <v>23</v>
      </c>
      <c r="C7" s="3" t="s">
        <v>10</v>
      </c>
      <c r="D7" s="3" t="s">
        <v>11</v>
      </c>
      <c r="E7" s="3" t="s">
        <v>24</v>
      </c>
      <c r="G7" s="6" t="s">
        <v>25</v>
      </c>
      <c r="H7" s="7">
        <f>COUNTIF(D2:D31,"Pune")</f>
        <v>4</v>
      </c>
    </row>
    <row r="8">
      <c r="A8" s="2">
        <v>107.0</v>
      </c>
      <c r="B8" s="3" t="s">
        <v>26</v>
      </c>
      <c r="C8" s="3" t="s">
        <v>6</v>
      </c>
      <c r="D8" s="3" t="s">
        <v>15</v>
      </c>
      <c r="E8" s="3" t="s">
        <v>27</v>
      </c>
      <c r="G8" s="6" t="s">
        <v>28</v>
      </c>
      <c r="H8" s="7">
        <f>COUNTIF(D2:D31,"Delhi")</f>
        <v>6</v>
      </c>
    </row>
    <row r="9">
      <c r="A9" s="2">
        <v>108.0</v>
      </c>
      <c r="B9" s="3" t="s">
        <v>29</v>
      </c>
      <c r="C9" s="3" t="s">
        <v>10</v>
      </c>
      <c r="D9" s="3" t="s">
        <v>30</v>
      </c>
      <c r="E9" s="3" t="s">
        <v>12</v>
      </c>
      <c r="G9" s="6" t="s">
        <v>31</v>
      </c>
      <c r="H9" s="7">
        <f>COUNTIF(D2:D31,"Chandigarh")</f>
        <v>1</v>
      </c>
    </row>
    <row r="10">
      <c r="A10" s="2">
        <v>109.0</v>
      </c>
      <c r="B10" s="3" t="s">
        <v>32</v>
      </c>
      <c r="C10" s="3" t="s">
        <v>6</v>
      </c>
      <c r="D10" s="3" t="s">
        <v>15</v>
      </c>
      <c r="E10" s="3" t="s">
        <v>33</v>
      </c>
      <c r="G10" s="6" t="s">
        <v>34</v>
      </c>
      <c r="H10" s="7">
        <f>COUNTIF(D2:D31,"Lucknow")</f>
        <v>1</v>
      </c>
    </row>
    <row r="11">
      <c r="A11" s="2">
        <v>110.0</v>
      </c>
      <c r="B11" s="3" t="s">
        <v>35</v>
      </c>
      <c r="C11" s="3" t="s">
        <v>10</v>
      </c>
      <c r="D11" s="3" t="s">
        <v>7</v>
      </c>
      <c r="E11" s="3"/>
      <c r="G11" s="6" t="s">
        <v>36</v>
      </c>
      <c r="H11" s="7">
        <f>COUNTIF(D2:D31,"Ahmedabad")</f>
        <v>2</v>
      </c>
    </row>
    <row r="12">
      <c r="A12" s="2">
        <v>111.0</v>
      </c>
      <c r="B12" s="3" t="s">
        <v>37</v>
      </c>
      <c r="C12" s="3" t="s">
        <v>6</v>
      </c>
      <c r="D12" s="3" t="s">
        <v>38</v>
      </c>
      <c r="E12" s="3" t="s">
        <v>8</v>
      </c>
    </row>
    <row r="13">
      <c r="A13" s="2">
        <v>112.0</v>
      </c>
      <c r="B13" s="3" t="s">
        <v>39</v>
      </c>
      <c r="C13" s="3" t="s">
        <v>10</v>
      </c>
      <c r="D13" s="3" t="s">
        <v>40</v>
      </c>
      <c r="E13" s="3" t="s">
        <v>12</v>
      </c>
      <c r="G13" s="8" t="s">
        <v>41</v>
      </c>
      <c r="H13" s="9">
        <f>COUNTIF(E2:E31,"Good")</f>
        <v>9</v>
      </c>
    </row>
    <row r="14">
      <c r="A14" s="2">
        <v>113.0</v>
      </c>
      <c r="B14" s="3" t="s">
        <v>42</v>
      </c>
      <c r="C14" s="3" t="s">
        <v>6</v>
      </c>
      <c r="D14" s="3"/>
      <c r="E14" s="3" t="s">
        <v>18</v>
      </c>
      <c r="G14" s="8" t="s">
        <v>43</v>
      </c>
      <c r="H14" s="9">
        <f>COUNTIF(E2:E31,"Bad")</f>
        <v>2</v>
      </c>
    </row>
    <row r="15">
      <c r="A15" s="2">
        <v>114.0</v>
      </c>
      <c r="B15" s="3" t="s">
        <v>44</v>
      </c>
      <c r="C15" s="3" t="s">
        <v>10</v>
      </c>
      <c r="D15" s="3" t="s">
        <v>15</v>
      </c>
      <c r="E15" s="3" t="s">
        <v>8</v>
      </c>
      <c r="G15" s="8" t="s">
        <v>45</v>
      </c>
      <c r="H15" s="9">
        <f>COUNTIF(E2:E31,"Average")</f>
        <v>5</v>
      </c>
    </row>
    <row r="16">
      <c r="A16" s="2">
        <v>115.0</v>
      </c>
      <c r="B16" s="3" t="s">
        <v>46</v>
      </c>
      <c r="C16" s="3" t="s">
        <v>6</v>
      </c>
      <c r="D16" s="3" t="s">
        <v>47</v>
      </c>
      <c r="E16" s="3" t="s">
        <v>27</v>
      </c>
    </row>
    <row r="17">
      <c r="A17" s="2">
        <v>116.0</v>
      </c>
      <c r="B17" s="3" t="s">
        <v>48</v>
      </c>
      <c r="C17" s="3" t="s">
        <v>10</v>
      </c>
      <c r="D17" s="3" t="s">
        <v>49</v>
      </c>
      <c r="E17" s="3" t="s">
        <v>12</v>
      </c>
    </row>
    <row r="18">
      <c r="A18" s="2">
        <v>117.0</v>
      </c>
      <c r="B18" s="3" t="s">
        <v>50</v>
      </c>
      <c r="C18" s="3" t="s">
        <v>6</v>
      </c>
      <c r="D18" s="3" t="s">
        <v>51</v>
      </c>
      <c r="E18" s="3" t="s">
        <v>8</v>
      </c>
    </row>
    <row r="19">
      <c r="A19" s="2">
        <v>118.0</v>
      </c>
      <c r="B19" s="3" t="s">
        <v>52</v>
      </c>
      <c r="C19" s="3" t="s">
        <v>10</v>
      </c>
      <c r="D19" s="3" t="s">
        <v>7</v>
      </c>
      <c r="E19" s="3"/>
    </row>
    <row r="20">
      <c r="A20" s="2">
        <v>119.0</v>
      </c>
      <c r="B20" s="3" t="s">
        <v>53</v>
      </c>
      <c r="C20" s="3" t="s">
        <v>6</v>
      </c>
      <c r="D20" s="3" t="s">
        <v>30</v>
      </c>
      <c r="E20" s="3" t="s">
        <v>18</v>
      </c>
    </row>
    <row r="21">
      <c r="A21" s="2">
        <v>120.0</v>
      </c>
      <c r="B21" s="3" t="s">
        <v>54</v>
      </c>
      <c r="C21" s="3" t="s">
        <v>10</v>
      </c>
      <c r="D21" s="3" t="s">
        <v>55</v>
      </c>
      <c r="E21" s="3" t="s">
        <v>8</v>
      </c>
    </row>
    <row r="22">
      <c r="A22" s="2">
        <v>121.0</v>
      </c>
      <c r="B22" s="3" t="s">
        <v>56</v>
      </c>
      <c r="C22" s="3" t="s">
        <v>6</v>
      </c>
      <c r="D22" s="3" t="s">
        <v>57</v>
      </c>
      <c r="E22" s="3" t="s">
        <v>12</v>
      </c>
    </row>
    <row r="23">
      <c r="A23" s="2">
        <v>122.0</v>
      </c>
      <c r="B23" s="3" t="s">
        <v>58</v>
      </c>
      <c r="C23" s="3" t="s">
        <v>10</v>
      </c>
      <c r="D23" s="3" t="s">
        <v>51</v>
      </c>
      <c r="E23" s="3" t="s">
        <v>8</v>
      </c>
    </row>
    <row r="24">
      <c r="A24" s="2">
        <v>123.0</v>
      </c>
      <c r="B24" s="3" t="s">
        <v>59</v>
      </c>
      <c r="C24" s="3" t="s">
        <v>6</v>
      </c>
      <c r="D24" s="3" t="s">
        <v>15</v>
      </c>
      <c r="E24" s="3" t="s">
        <v>27</v>
      </c>
    </row>
    <row r="25">
      <c r="A25" s="2">
        <v>124.0</v>
      </c>
      <c r="B25" s="3" t="s">
        <v>60</v>
      </c>
      <c r="C25" s="3" t="s">
        <v>10</v>
      </c>
      <c r="D25" s="3" t="s">
        <v>38</v>
      </c>
      <c r="E25" s="3" t="s">
        <v>18</v>
      </c>
    </row>
    <row r="26">
      <c r="A26" s="2">
        <v>125.0</v>
      </c>
      <c r="B26" s="3" t="s">
        <v>61</v>
      </c>
      <c r="C26" s="3" t="s">
        <v>6</v>
      </c>
      <c r="D26" s="3" t="s">
        <v>62</v>
      </c>
      <c r="E26" s="3" t="s">
        <v>12</v>
      </c>
    </row>
    <row r="27">
      <c r="A27" s="2">
        <v>126.0</v>
      </c>
      <c r="B27" s="3" t="s">
        <v>63</v>
      </c>
      <c r="C27" s="3" t="s">
        <v>10</v>
      </c>
      <c r="D27" s="3" t="s">
        <v>11</v>
      </c>
      <c r="E27" s="3" t="s">
        <v>8</v>
      </c>
    </row>
    <row r="28">
      <c r="A28" s="2">
        <v>127.0</v>
      </c>
      <c r="B28" s="3" t="s">
        <v>64</v>
      </c>
      <c r="C28" s="3" t="s">
        <v>6</v>
      </c>
      <c r="D28" s="3" t="s">
        <v>7</v>
      </c>
      <c r="E28" s="3" t="s">
        <v>33</v>
      </c>
    </row>
    <row r="29">
      <c r="A29" s="2">
        <v>128.0</v>
      </c>
      <c r="B29" s="3" t="s">
        <v>65</v>
      </c>
      <c r="C29" s="3" t="s">
        <v>10</v>
      </c>
      <c r="D29" s="3" t="s">
        <v>15</v>
      </c>
      <c r="E29" s="3" t="s">
        <v>12</v>
      </c>
    </row>
    <row r="30">
      <c r="A30" s="2">
        <v>129.0</v>
      </c>
      <c r="B30" s="3" t="s">
        <v>66</v>
      </c>
      <c r="C30" s="3" t="s">
        <v>6</v>
      </c>
      <c r="D30" s="3" t="s">
        <v>67</v>
      </c>
      <c r="E30" s="3" t="s">
        <v>8</v>
      </c>
    </row>
    <row r="31">
      <c r="A31" s="2">
        <v>130.0</v>
      </c>
      <c r="B31" s="3" t="s">
        <v>68</v>
      </c>
      <c r="C31" s="3" t="s">
        <v>10</v>
      </c>
      <c r="D31" s="3" t="s">
        <v>11</v>
      </c>
      <c r="E31" s="3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101.0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2">
        <v>102.0</v>
      </c>
      <c r="B3" s="3" t="s">
        <v>9</v>
      </c>
      <c r="C3" s="3" t="s">
        <v>10</v>
      </c>
      <c r="D3" s="3" t="s">
        <v>11</v>
      </c>
      <c r="E3" s="3" t="s">
        <v>12</v>
      </c>
    </row>
    <row r="4">
      <c r="A4" s="2">
        <v>103.0</v>
      </c>
      <c r="B4" s="3" t="s">
        <v>14</v>
      </c>
      <c r="C4" s="3" t="s">
        <v>6</v>
      </c>
      <c r="D4" s="3" t="s">
        <v>15</v>
      </c>
      <c r="E4" s="3"/>
    </row>
    <row r="5">
      <c r="A5" s="2">
        <v>104.0</v>
      </c>
      <c r="B5" s="3" t="s">
        <v>17</v>
      </c>
      <c r="C5" s="3" t="s">
        <v>10</v>
      </c>
      <c r="D5" s="3" t="s">
        <v>7</v>
      </c>
      <c r="E5" s="3" t="s">
        <v>18</v>
      </c>
      <c r="G5" s="10">
        <f>LEN(B4)</f>
        <v>10</v>
      </c>
    </row>
    <row r="6">
      <c r="A6" s="2">
        <v>105.0</v>
      </c>
      <c r="B6" s="3" t="s">
        <v>19</v>
      </c>
      <c r="C6" s="3" t="s">
        <v>6</v>
      </c>
      <c r="D6" s="3" t="s">
        <v>20</v>
      </c>
      <c r="E6" s="3" t="s">
        <v>21</v>
      </c>
    </row>
    <row r="7">
      <c r="A7" s="2">
        <v>106.0</v>
      </c>
      <c r="B7" s="3" t="s">
        <v>23</v>
      </c>
      <c r="C7" s="3" t="s">
        <v>10</v>
      </c>
      <c r="D7" s="3" t="s">
        <v>11</v>
      </c>
      <c r="E7" s="3" t="s">
        <v>24</v>
      </c>
    </row>
    <row r="8">
      <c r="A8" s="2">
        <v>107.0</v>
      </c>
      <c r="B8" s="3" t="s">
        <v>26</v>
      </c>
      <c r="C8" s="3" t="s">
        <v>6</v>
      </c>
      <c r="D8" s="3" t="s">
        <v>15</v>
      </c>
      <c r="E8" s="3" t="s">
        <v>27</v>
      </c>
    </row>
    <row r="9">
      <c r="A9" s="2">
        <v>108.0</v>
      </c>
      <c r="B9" s="3" t="s">
        <v>29</v>
      </c>
      <c r="C9" s="3" t="s">
        <v>10</v>
      </c>
      <c r="D9" s="3" t="s">
        <v>30</v>
      </c>
      <c r="E9" s="3" t="s">
        <v>12</v>
      </c>
    </row>
    <row r="10">
      <c r="A10" s="2">
        <v>109.0</v>
      </c>
      <c r="B10" s="3" t="s">
        <v>32</v>
      </c>
      <c r="C10" s="3" t="s">
        <v>6</v>
      </c>
      <c r="D10" s="3" t="s">
        <v>15</v>
      </c>
      <c r="E10" s="3" t="s">
        <v>33</v>
      </c>
    </row>
    <row r="11">
      <c r="A11" s="2">
        <v>110.0</v>
      </c>
      <c r="B11" s="3" t="s">
        <v>35</v>
      </c>
      <c r="C11" s="3" t="s">
        <v>10</v>
      </c>
      <c r="D11" s="3" t="s">
        <v>7</v>
      </c>
      <c r="E11" s="3"/>
    </row>
    <row r="12">
      <c r="A12" s="2">
        <v>111.0</v>
      </c>
      <c r="B12" s="3" t="s">
        <v>37</v>
      </c>
      <c r="C12" s="3" t="s">
        <v>6</v>
      </c>
      <c r="D12" s="3" t="s">
        <v>38</v>
      </c>
      <c r="E12" s="3" t="s">
        <v>8</v>
      </c>
    </row>
    <row r="13">
      <c r="A13" s="2">
        <v>112.0</v>
      </c>
      <c r="B13" s="3" t="s">
        <v>39</v>
      </c>
      <c r="C13" s="3" t="s">
        <v>10</v>
      </c>
      <c r="D13" s="3" t="s">
        <v>40</v>
      </c>
      <c r="E13" s="3" t="s">
        <v>12</v>
      </c>
    </row>
    <row r="14">
      <c r="A14" s="2">
        <v>113.0</v>
      </c>
      <c r="B14" s="3" t="s">
        <v>42</v>
      </c>
      <c r="C14" s="3" t="s">
        <v>6</v>
      </c>
      <c r="D14" s="3"/>
      <c r="E14" s="3" t="s">
        <v>18</v>
      </c>
    </row>
    <row r="15">
      <c r="A15" s="2">
        <v>114.0</v>
      </c>
      <c r="B15" s="3" t="s">
        <v>44</v>
      </c>
      <c r="C15" s="3" t="s">
        <v>10</v>
      </c>
      <c r="D15" s="3" t="s">
        <v>15</v>
      </c>
      <c r="E15" s="3" t="s">
        <v>8</v>
      </c>
    </row>
    <row r="16">
      <c r="A16" s="2">
        <v>115.0</v>
      </c>
      <c r="B16" s="3" t="s">
        <v>46</v>
      </c>
      <c r="C16" s="3" t="s">
        <v>6</v>
      </c>
      <c r="D16" s="3" t="s">
        <v>47</v>
      </c>
      <c r="E16" s="3" t="s">
        <v>27</v>
      </c>
    </row>
    <row r="17">
      <c r="A17" s="2">
        <v>116.0</v>
      </c>
      <c r="B17" s="3" t="s">
        <v>48</v>
      </c>
      <c r="C17" s="3" t="s">
        <v>10</v>
      </c>
      <c r="D17" s="3" t="s">
        <v>49</v>
      </c>
      <c r="E17" s="3" t="s">
        <v>12</v>
      </c>
    </row>
    <row r="18">
      <c r="A18" s="2">
        <v>117.0</v>
      </c>
      <c r="B18" s="3" t="s">
        <v>50</v>
      </c>
      <c r="C18" s="3" t="s">
        <v>6</v>
      </c>
      <c r="D18" s="3" t="s">
        <v>51</v>
      </c>
      <c r="E18" s="3" t="s">
        <v>8</v>
      </c>
    </row>
    <row r="19">
      <c r="A19" s="2">
        <v>118.0</v>
      </c>
      <c r="B19" s="3" t="s">
        <v>52</v>
      </c>
      <c r="C19" s="3" t="s">
        <v>10</v>
      </c>
      <c r="D19" s="3" t="s">
        <v>7</v>
      </c>
      <c r="E19" s="3"/>
    </row>
    <row r="20">
      <c r="A20" s="2">
        <v>119.0</v>
      </c>
      <c r="B20" s="3" t="s">
        <v>53</v>
      </c>
      <c r="C20" s="3" t="s">
        <v>6</v>
      </c>
      <c r="D20" s="3" t="s">
        <v>30</v>
      </c>
      <c r="E20" s="3" t="s">
        <v>18</v>
      </c>
    </row>
    <row r="21">
      <c r="A21" s="2">
        <v>120.0</v>
      </c>
      <c r="B21" s="3" t="s">
        <v>54</v>
      </c>
      <c r="C21" s="3" t="s">
        <v>10</v>
      </c>
      <c r="D21" s="3" t="s">
        <v>55</v>
      </c>
      <c r="E21" s="3" t="s">
        <v>8</v>
      </c>
    </row>
    <row r="22">
      <c r="A22" s="2">
        <v>121.0</v>
      </c>
      <c r="B22" s="3" t="s">
        <v>56</v>
      </c>
      <c r="C22" s="3" t="s">
        <v>6</v>
      </c>
      <c r="D22" s="3" t="s">
        <v>57</v>
      </c>
      <c r="E22" s="3" t="s">
        <v>12</v>
      </c>
    </row>
    <row r="23">
      <c r="A23" s="2">
        <v>122.0</v>
      </c>
      <c r="B23" s="3" t="s">
        <v>58</v>
      </c>
      <c r="C23" s="3" t="s">
        <v>10</v>
      </c>
      <c r="D23" s="3" t="s">
        <v>51</v>
      </c>
      <c r="E23" s="3" t="s">
        <v>8</v>
      </c>
    </row>
    <row r="24">
      <c r="A24" s="2">
        <v>123.0</v>
      </c>
      <c r="B24" s="3" t="s">
        <v>59</v>
      </c>
      <c r="C24" s="3" t="s">
        <v>6</v>
      </c>
      <c r="D24" s="3" t="s">
        <v>15</v>
      </c>
      <c r="E24" s="3" t="s">
        <v>27</v>
      </c>
    </row>
    <row r="25">
      <c r="A25" s="2">
        <v>124.0</v>
      </c>
      <c r="B25" s="3" t="s">
        <v>60</v>
      </c>
      <c r="C25" s="3" t="s">
        <v>10</v>
      </c>
      <c r="D25" s="3" t="s">
        <v>38</v>
      </c>
      <c r="E25" s="3" t="s">
        <v>18</v>
      </c>
    </row>
    <row r="26">
      <c r="A26" s="2">
        <v>125.0</v>
      </c>
      <c r="B26" s="3" t="s">
        <v>61</v>
      </c>
      <c r="C26" s="3" t="s">
        <v>6</v>
      </c>
      <c r="D26" s="3" t="s">
        <v>62</v>
      </c>
      <c r="E26" s="3" t="s">
        <v>12</v>
      </c>
    </row>
    <row r="27">
      <c r="A27" s="2">
        <v>126.0</v>
      </c>
      <c r="B27" s="3" t="s">
        <v>63</v>
      </c>
      <c r="C27" s="3" t="s">
        <v>10</v>
      </c>
      <c r="D27" s="3" t="s">
        <v>11</v>
      </c>
      <c r="E27" s="3" t="s">
        <v>8</v>
      </c>
    </row>
    <row r="28">
      <c r="A28" s="2">
        <v>127.0</v>
      </c>
      <c r="B28" s="3" t="s">
        <v>64</v>
      </c>
      <c r="C28" s="3" t="s">
        <v>6</v>
      </c>
      <c r="D28" s="3" t="s">
        <v>7</v>
      </c>
      <c r="E28" s="3" t="s">
        <v>33</v>
      </c>
    </row>
    <row r="29">
      <c r="A29" s="2">
        <v>128.0</v>
      </c>
      <c r="B29" s="3" t="s">
        <v>65</v>
      </c>
      <c r="C29" s="3" t="s">
        <v>10</v>
      </c>
      <c r="D29" s="3" t="s">
        <v>15</v>
      </c>
      <c r="E29" s="3" t="s">
        <v>12</v>
      </c>
    </row>
    <row r="30">
      <c r="A30" s="2">
        <v>129.0</v>
      </c>
      <c r="B30" s="3" t="s">
        <v>66</v>
      </c>
      <c r="C30" s="3" t="s">
        <v>6</v>
      </c>
      <c r="D30" s="3" t="s">
        <v>67</v>
      </c>
      <c r="E30" s="3" t="s">
        <v>8</v>
      </c>
    </row>
    <row r="31">
      <c r="A31" s="2">
        <v>130.0</v>
      </c>
      <c r="B31" s="3" t="s">
        <v>68</v>
      </c>
      <c r="C31" s="3" t="s">
        <v>10</v>
      </c>
      <c r="D31" s="3" t="s">
        <v>11</v>
      </c>
      <c r="E31" s="3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69</v>
      </c>
    </row>
    <row r="2">
      <c r="A2" s="2">
        <v>101.0</v>
      </c>
      <c r="B2" s="3" t="s">
        <v>5</v>
      </c>
      <c r="C2" s="3" t="s">
        <v>6</v>
      </c>
      <c r="D2" s="3" t="s">
        <v>7</v>
      </c>
      <c r="E2" s="3" t="s">
        <v>8</v>
      </c>
      <c r="F2" s="12" t="str">
        <f t="shared" ref="F2:F31" si="1">LEFT(B2,5)</f>
        <v>Rahul</v>
      </c>
    </row>
    <row r="3">
      <c r="A3" s="2">
        <v>102.0</v>
      </c>
      <c r="B3" s="3" t="s">
        <v>9</v>
      </c>
      <c r="C3" s="3" t="s">
        <v>10</v>
      </c>
      <c r="D3" s="3" t="s">
        <v>11</v>
      </c>
      <c r="E3" s="3" t="s">
        <v>12</v>
      </c>
      <c r="F3" s="12" t="str">
        <f t="shared" si="1"/>
        <v>Anita</v>
      </c>
    </row>
    <row r="4">
      <c r="A4" s="2">
        <v>103.0</v>
      </c>
      <c r="B4" s="13" t="s">
        <v>26</v>
      </c>
      <c r="C4" s="3" t="s">
        <v>6</v>
      </c>
      <c r="D4" s="3" t="s">
        <v>15</v>
      </c>
      <c r="E4" s="3"/>
      <c r="F4" s="12" t="str">
        <f t="shared" si="1"/>
        <v>Vikas</v>
      </c>
    </row>
    <row r="5">
      <c r="A5" s="2">
        <v>104.0</v>
      </c>
      <c r="B5" s="3" t="s">
        <v>17</v>
      </c>
      <c r="C5" s="3" t="s">
        <v>10</v>
      </c>
      <c r="D5" s="3" t="s">
        <v>7</v>
      </c>
      <c r="E5" s="3" t="s">
        <v>18</v>
      </c>
      <c r="F5" s="12" t="str">
        <f t="shared" si="1"/>
        <v>Neha </v>
      </c>
    </row>
    <row r="6">
      <c r="A6" s="2">
        <v>105.0</v>
      </c>
      <c r="B6" s="3" t="s">
        <v>19</v>
      </c>
      <c r="C6" s="3" t="s">
        <v>6</v>
      </c>
      <c r="D6" s="3" t="s">
        <v>20</v>
      </c>
      <c r="E6" s="3" t="s">
        <v>21</v>
      </c>
      <c r="F6" s="12" t="str">
        <f t="shared" si="1"/>
        <v>Rohit</v>
      </c>
    </row>
    <row r="7">
      <c r="A7" s="2">
        <v>106.0</v>
      </c>
      <c r="B7" s="3" t="s">
        <v>23</v>
      </c>
      <c r="C7" s="3" t="s">
        <v>10</v>
      </c>
      <c r="D7" s="3" t="s">
        <v>11</v>
      </c>
      <c r="E7" s="3" t="s">
        <v>24</v>
      </c>
      <c r="F7" s="12" t="str">
        <f t="shared" si="1"/>
        <v>Sneha</v>
      </c>
    </row>
    <row r="8">
      <c r="A8" s="2">
        <v>107.0</v>
      </c>
      <c r="B8" s="3" t="s">
        <v>14</v>
      </c>
      <c r="C8" s="3" t="s">
        <v>6</v>
      </c>
      <c r="D8" s="3" t="s">
        <v>15</v>
      </c>
      <c r="E8" s="3" t="s">
        <v>27</v>
      </c>
      <c r="F8" s="12" t="str">
        <f t="shared" si="1"/>
        <v>Amit </v>
      </c>
    </row>
    <row r="9">
      <c r="A9" s="2">
        <v>108.0</v>
      </c>
      <c r="B9" s="3" t="s">
        <v>29</v>
      </c>
      <c r="C9" s="3" t="s">
        <v>10</v>
      </c>
      <c r="D9" s="3" t="s">
        <v>30</v>
      </c>
      <c r="E9" s="3" t="s">
        <v>12</v>
      </c>
      <c r="F9" s="12" t="str">
        <f t="shared" si="1"/>
        <v>Priya</v>
      </c>
    </row>
    <row r="10">
      <c r="A10" s="2">
        <v>109.0</v>
      </c>
      <c r="B10" s="3" t="s">
        <v>32</v>
      </c>
      <c r="C10" s="3" t="s">
        <v>6</v>
      </c>
      <c r="D10" s="3" t="s">
        <v>15</v>
      </c>
      <c r="E10" s="3" t="s">
        <v>33</v>
      </c>
      <c r="F10" s="12" t="str">
        <f t="shared" si="1"/>
        <v>Karan</v>
      </c>
    </row>
    <row r="11">
      <c r="A11" s="2">
        <v>110.0</v>
      </c>
      <c r="B11" s="3" t="s">
        <v>35</v>
      </c>
      <c r="C11" s="3" t="s">
        <v>10</v>
      </c>
      <c r="D11" s="3" t="s">
        <v>7</v>
      </c>
      <c r="E11" s="3"/>
      <c r="F11" s="12" t="str">
        <f t="shared" si="1"/>
        <v>Pooja</v>
      </c>
    </row>
    <row r="12">
      <c r="A12" s="2">
        <v>111.0</v>
      </c>
      <c r="B12" s="3" t="s">
        <v>37</v>
      </c>
      <c r="C12" s="3" t="s">
        <v>6</v>
      </c>
      <c r="D12" s="3" t="s">
        <v>38</v>
      </c>
      <c r="E12" s="3" t="s">
        <v>8</v>
      </c>
      <c r="F12" s="12" t="str">
        <f t="shared" si="1"/>
        <v>Aman </v>
      </c>
    </row>
    <row r="13">
      <c r="A13" s="2">
        <v>112.0</v>
      </c>
      <c r="B13" s="3" t="s">
        <v>39</v>
      </c>
      <c r="C13" s="3" t="s">
        <v>10</v>
      </c>
      <c r="D13" s="3" t="s">
        <v>40</v>
      </c>
      <c r="E13" s="3" t="s">
        <v>12</v>
      </c>
      <c r="F13" s="12" t="str">
        <f t="shared" si="1"/>
        <v>Simra</v>
      </c>
    </row>
    <row r="14">
      <c r="A14" s="2">
        <v>113.0</v>
      </c>
      <c r="B14" s="3" t="s">
        <v>42</v>
      </c>
      <c r="C14" s="3" t="s">
        <v>6</v>
      </c>
      <c r="D14" s="3"/>
      <c r="E14" s="3" t="s">
        <v>18</v>
      </c>
      <c r="F14" s="12" t="str">
        <f t="shared" si="1"/>
        <v>Nikhi</v>
      </c>
    </row>
    <row r="15">
      <c r="A15" s="2">
        <v>114.0</v>
      </c>
      <c r="B15" s="3" t="s">
        <v>44</v>
      </c>
      <c r="C15" s="3" t="s">
        <v>10</v>
      </c>
      <c r="D15" s="3" t="s">
        <v>15</v>
      </c>
      <c r="E15" s="3" t="s">
        <v>8</v>
      </c>
      <c r="F15" s="12" t="str">
        <f t="shared" si="1"/>
        <v>Riya </v>
      </c>
    </row>
    <row r="16">
      <c r="A16" s="2">
        <v>115.0</v>
      </c>
      <c r="B16" s="3" t="s">
        <v>46</v>
      </c>
      <c r="C16" s="3" t="s">
        <v>6</v>
      </c>
      <c r="D16" s="3" t="s">
        <v>47</v>
      </c>
      <c r="E16" s="3" t="s">
        <v>27</v>
      </c>
      <c r="F16" s="12" t="str">
        <f t="shared" si="1"/>
        <v>Sures</v>
      </c>
    </row>
    <row r="17">
      <c r="A17" s="2">
        <v>116.0</v>
      </c>
      <c r="B17" s="3" t="s">
        <v>48</v>
      </c>
      <c r="C17" s="3" t="s">
        <v>10</v>
      </c>
      <c r="D17" s="3" t="s">
        <v>49</v>
      </c>
      <c r="E17" s="3" t="s">
        <v>12</v>
      </c>
      <c r="F17" s="12" t="str">
        <f t="shared" si="1"/>
        <v>Kavit</v>
      </c>
    </row>
    <row r="18">
      <c r="A18" s="2">
        <v>117.0</v>
      </c>
      <c r="B18" s="3" t="s">
        <v>50</v>
      </c>
      <c r="C18" s="3" t="s">
        <v>6</v>
      </c>
      <c r="D18" s="3" t="s">
        <v>51</v>
      </c>
      <c r="E18" s="3" t="s">
        <v>8</v>
      </c>
      <c r="F18" s="12" t="str">
        <f t="shared" si="1"/>
        <v>Deepa</v>
      </c>
    </row>
    <row r="19">
      <c r="A19" s="2">
        <v>118.0</v>
      </c>
      <c r="B19" s="3" t="s">
        <v>52</v>
      </c>
      <c r="C19" s="3" t="s">
        <v>10</v>
      </c>
      <c r="D19" s="3" t="s">
        <v>7</v>
      </c>
      <c r="E19" s="3"/>
      <c r="F19" s="12" t="str">
        <f t="shared" si="1"/>
        <v>Shwet</v>
      </c>
    </row>
    <row r="20">
      <c r="A20" s="2">
        <v>119.0</v>
      </c>
      <c r="B20" s="3" t="s">
        <v>53</v>
      </c>
      <c r="C20" s="3" t="s">
        <v>6</v>
      </c>
      <c r="D20" s="3" t="s">
        <v>30</v>
      </c>
      <c r="E20" s="3" t="s">
        <v>18</v>
      </c>
      <c r="F20" s="12" t="str">
        <f t="shared" si="1"/>
        <v>Arjun</v>
      </c>
    </row>
    <row r="21">
      <c r="A21" s="2">
        <v>120.0</v>
      </c>
      <c r="B21" s="3" t="s">
        <v>54</v>
      </c>
      <c r="C21" s="3" t="s">
        <v>10</v>
      </c>
      <c r="D21" s="3" t="s">
        <v>55</v>
      </c>
      <c r="E21" s="3" t="s">
        <v>8</v>
      </c>
      <c r="F21" s="12" t="str">
        <f t="shared" si="1"/>
        <v>Meena</v>
      </c>
    </row>
    <row r="22">
      <c r="A22" s="2">
        <v>121.0</v>
      </c>
      <c r="B22" s="3" t="s">
        <v>56</v>
      </c>
      <c r="C22" s="3" t="s">
        <v>6</v>
      </c>
      <c r="D22" s="3" t="s">
        <v>57</v>
      </c>
      <c r="E22" s="3" t="s">
        <v>12</v>
      </c>
      <c r="F22" s="12" t="str">
        <f t="shared" si="1"/>
        <v>Rakes</v>
      </c>
    </row>
    <row r="23">
      <c r="A23" s="2">
        <v>122.0</v>
      </c>
      <c r="B23" s="3" t="s">
        <v>58</v>
      </c>
      <c r="C23" s="3" t="s">
        <v>10</v>
      </c>
      <c r="D23" s="3" t="s">
        <v>51</v>
      </c>
      <c r="E23" s="3" t="s">
        <v>8</v>
      </c>
      <c r="F23" s="12" t="str">
        <f t="shared" si="1"/>
        <v>Sunit</v>
      </c>
    </row>
    <row r="24">
      <c r="A24" s="2">
        <v>123.0</v>
      </c>
      <c r="B24" s="3" t="s">
        <v>59</v>
      </c>
      <c r="C24" s="3" t="s">
        <v>6</v>
      </c>
      <c r="D24" s="3" t="s">
        <v>15</v>
      </c>
      <c r="E24" s="3" t="s">
        <v>27</v>
      </c>
      <c r="F24" s="12" t="str">
        <f t="shared" si="1"/>
        <v>Manis</v>
      </c>
    </row>
    <row r="25">
      <c r="A25" s="2">
        <v>124.0</v>
      </c>
      <c r="B25" s="3" t="s">
        <v>60</v>
      </c>
      <c r="C25" s="3" t="s">
        <v>10</v>
      </c>
      <c r="D25" s="3" t="s">
        <v>38</v>
      </c>
      <c r="E25" s="3" t="s">
        <v>18</v>
      </c>
      <c r="F25" s="12" t="str">
        <f t="shared" si="1"/>
        <v>Alka</v>
      </c>
    </row>
    <row r="26">
      <c r="A26" s="2">
        <v>125.0</v>
      </c>
      <c r="B26" s="3" t="s">
        <v>61</v>
      </c>
      <c r="C26" s="3" t="s">
        <v>6</v>
      </c>
      <c r="D26" s="3" t="s">
        <v>62</v>
      </c>
      <c r="E26" s="3" t="s">
        <v>12</v>
      </c>
      <c r="F26" s="12" t="str">
        <f t="shared" si="1"/>
        <v>Vinod</v>
      </c>
    </row>
    <row r="27">
      <c r="A27" s="2">
        <v>126.0</v>
      </c>
      <c r="B27" s="3" t="s">
        <v>63</v>
      </c>
      <c r="C27" s="3" t="s">
        <v>10</v>
      </c>
      <c r="D27" s="3" t="s">
        <v>11</v>
      </c>
      <c r="E27" s="3" t="s">
        <v>8</v>
      </c>
      <c r="F27" s="12" t="str">
        <f t="shared" si="1"/>
        <v>Palla</v>
      </c>
    </row>
    <row r="28">
      <c r="A28" s="2">
        <v>127.0</v>
      </c>
      <c r="B28" s="3" t="s">
        <v>64</v>
      </c>
      <c r="C28" s="3" t="s">
        <v>6</v>
      </c>
      <c r="D28" s="3" t="s">
        <v>7</v>
      </c>
      <c r="E28" s="3" t="s">
        <v>33</v>
      </c>
      <c r="F28" s="12" t="str">
        <f t="shared" si="1"/>
        <v>Harsh</v>
      </c>
    </row>
    <row r="29">
      <c r="A29" s="2">
        <v>128.0</v>
      </c>
      <c r="B29" s="3" t="s">
        <v>65</v>
      </c>
      <c r="C29" s="3" t="s">
        <v>10</v>
      </c>
      <c r="D29" s="3" t="s">
        <v>15</v>
      </c>
      <c r="E29" s="3" t="s">
        <v>12</v>
      </c>
      <c r="F29" s="12" t="str">
        <f t="shared" si="1"/>
        <v>Naina</v>
      </c>
    </row>
    <row r="30">
      <c r="A30" s="2">
        <v>129.0</v>
      </c>
      <c r="B30" s="3" t="s">
        <v>66</v>
      </c>
      <c r="C30" s="3" t="s">
        <v>6</v>
      </c>
      <c r="D30" s="3" t="s">
        <v>67</v>
      </c>
      <c r="E30" s="3" t="s">
        <v>8</v>
      </c>
      <c r="F30" s="12" t="str">
        <f t="shared" si="1"/>
        <v>Yoges</v>
      </c>
    </row>
    <row r="31">
      <c r="A31" s="2">
        <v>130.0</v>
      </c>
      <c r="B31" s="3" t="s">
        <v>68</v>
      </c>
      <c r="C31" s="3" t="s">
        <v>10</v>
      </c>
      <c r="D31" s="3" t="s">
        <v>11</v>
      </c>
      <c r="E31" s="3" t="s">
        <v>18</v>
      </c>
      <c r="F31" s="12" t="str">
        <f t="shared" si="1"/>
        <v>Aarti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70</v>
      </c>
    </row>
    <row r="2">
      <c r="A2" s="2">
        <v>101.0</v>
      </c>
      <c r="B2" s="3" t="s">
        <v>5</v>
      </c>
      <c r="C2" s="3" t="s">
        <v>6</v>
      </c>
      <c r="D2" s="3" t="s">
        <v>7</v>
      </c>
      <c r="E2" s="3" t="s">
        <v>8</v>
      </c>
      <c r="F2" s="14" t="str">
        <f t="shared" ref="F2:F31" si="1">CONCATENATE(C2, " ", D2)</f>
        <v>Male Mumbai</v>
      </c>
    </row>
    <row r="3">
      <c r="A3" s="2">
        <v>102.0</v>
      </c>
      <c r="B3" s="3" t="s">
        <v>9</v>
      </c>
      <c r="C3" s="3" t="s">
        <v>10</v>
      </c>
      <c r="D3" s="3" t="s">
        <v>11</v>
      </c>
      <c r="E3" s="3" t="s">
        <v>12</v>
      </c>
      <c r="F3" s="14" t="str">
        <f t="shared" si="1"/>
        <v>Female Pune</v>
      </c>
    </row>
    <row r="4">
      <c r="A4" s="2">
        <v>103.0</v>
      </c>
      <c r="B4" s="13" t="s">
        <v>26</v>
      </c>
      <c r="C4" s="3" t="s">
        <v>6</v>
      </c>
      <c r="D4" s="3" t="s">
        <v>15</v>
      </c>
      <c r="E4" s="3"/>
      <c r="F4" s="14" t="str">
        <f t="shared" si="1"/>
        <v>Male Delhi</v>
      </c>
    </row>
    <row r="5">
      <c r="A5" s="2">
        <v>104.0</v>
      </c>
      <c r="B5" s="3" t="s">
        <v>17</v>
      </c>
      <c r="C5" s="3" t="s">
        <v>10</v>
      </c>
      <c r="D5" s="3" t="s">
        <v>7</v>
      </c>
      <c r="E5" s="3" t="s">
        <v>18</v>
      </c>
      <c r="F5" s="14" t="str">
        <f t="shared" si="1"/>
        <v>Female Mumbai</v>
      </c>
    </row>
    <row r="6">
      <c r="A6" s="2">
        <v>105.0</v>
      </c>
      <c r="B6" s="3" t="s">
        <v>19</v>
      </c>
      <c r="C6" s="3" t="s">
        <v>6</v>
      </c>
      <c r="D6" s="3" t="s">
        <v>20</v>
      </c>
      <c r="E6" s="3" t="s">
        <v>21</v>
      </c>
      <c r="F6" s="14" t="str">
        <f t="shared" si="1"/>
        <v>Male Nagpur</v>
      </c>
    </row>
    <row r="7">
      <c r="A7" s="2">
        <v>106.0</v>
      </c>
      <c r="B7" s="3" t="s">
        <v>23</v>
      </c>
      <c r="C7" s="3" t="s">
        <v>10</v>
      </c>
      <c r="D7" s="3" t="s">
        <v>11</v>
      </c>
      <c r="E7" s="3" t="s">
        <v>24</v>
      </c>
      <c r="F7" s="14" t="str">
        <f t="shared" si="1"/>
        <v>Female Pune</v>
      </c>
    </row>
    <row r="8">
      <c r="A8" s="2">
        <v>107.0</v>
      </c>
      <c r="B8" s="3" t="s">
        <v>14</v>
      </c>
      <c r="C8" s="3" t="s">
        <v>6</v>
      </c>
      <c r="D8" s="3" t="s">
        <v>15</v>
      </c>
      <c r="E8" s="3" t="s">
        <v>27</v>
      </c>
      <c r="F8" s="14" t="str">
        <f t="shared" si="1"/>
        <v>Male Delhi</v>
      </c>
    </row>
    <row r="9">
      <c r="A9" s="2">
        <v>108.0</v>
      </c>
      <c r="B9" s="3" t="s">
        <v>29</v>
      </c>
      <c r="C9" s="3" t="s">
        <v>10</v>
      </c>
      <c r="D9" s="3" t="s">
        <v>30</v>
      </c>
      <c r="E9" s="3" t="s">
        <v>12</v>
      </c>
      <c r="F9" s="14" t="str">
        <f t="shared" si="1"/>
        <v>Female Ahmedabad</v>
      </c>
    </row>
    <row r="10">
      <c r="A10" s="2">
        <v>109.0</v>
      </c>
      <c r="B10" s="3" t="s">
        <v>32</v>
      </c>
      <c r="C10" s="3" t="s">
        <v>6</v>
      </c>
      <c r="D10" s="3" t="s">
        <v>15</v>
      </c>
      <c r="E10" s="3" t="s">
        <v>33</v>
      </c>
      <c r="F10" s="14" t="str">
        <f t="shared" si="1"/>
        <v>Male Delhi</v>
      </c>
    </row>
    <row r="11">
      <c r="A11" s="2">
        <v>110.0</v>
      </c>
      <c r="B11" s="3" t="s">
        <v>35</v>
      </c>
      <c r="C11" s="3" t="s">
        <v>10</v>
      </c>
      <c r="D11" s="3" t="s">
        <v>7</v>
      </c>
      <c r="E11" s="3"/>
      <c r="F11" s="14" t="str">
        <f t="shared" si="1"/>
        <v>Female Mumbai</v>
      </c>
    </row>
    <row r="12">
      <c r="A12" s="2">
        <v>111.0</v>
      </c>
      <c r="B12" s="3" t="s">
        <v>37</v>
      </c>
      <c r="C12" s="3" t="s">
        <v>6</v>
      </c>
      <c r="D12" s="3" t="s">
        <v>38</v>
      </c>
      <c r="E12" s="3" t="s">
        <v>8</v>
      </c>
      <c r="F12" s="14" t="str">
        <f t="shared" si="1"/>
        <v>Male Bhopal</v>
      </c>
    </row>
    <row r="13">
      <c r="A13" s="2">
        <v>112.0</v>
      </c>
      <c r="B13" s="3" t="s">
        <v>39</v>
      </c>
      <c r="C13" s="3" t="s">
        <v>10</v>
      </c>
      <c r="D13" s="3" t="s">
        <v>40</v>
      </c>
      <c r="E13" s="3" t="s">
        <v>12</v>
      </c>
      <c r="F13" s="14" t="str">
        <f t="shared" si="1"/>
        <v>Female Chandigarh</v>
      </c>
    </row>
    <row r="14">
      <c r="A14" s="2">
        <v>113.0</v>
      </c>
      <c r="B14" s="3" t="s">
        <v>42</v>
      </c>
      <c r="C14" s="3" t="s">
        <v>6</v>
      </c>
      <c r="D14" s="3"/>
      <c r="E14" s="3" t="s">
        <v>18</v>
      </c>
      <c r="F14" s="14" t="str">
        <f t="shared" si="1"/>
        <v>Male </v>
      </c>
    </row>
    <row r="15">
      <c r="A15" s="2">
        <v>114.0</v>
      </c>
      <c r="B15" s="3" t="s">
        <v>44</v>
      </c>
      <c r="C15" s="3" t="s">
        <v>10</v>
      </c>
      <c r="D15" s="3" t="s">
        <v>15</v>
      </c>
      <c r="E15" s="3" t="s">
        <v>8</v>
      </c>
      <c r="F15" s="14" t="str">
        <f t="shared" si="1"/>
        <v>Female Delhi</v>
      </c>
    </row>
    <row r="16">
      <c r="A16" s="2">
        <v>115.0</v>
      </c>
      <c r="B16" s="3" t="s">
        <v>46</v>
      </c>
      <c r="C16" s="3" t="s">
        <v>6</v>
      </c>
      <c r="D16" s="3" t="s">
        <v>47</v>
      </c>
      <c r="E16" s="3" t="s">
        <v>27</v>
      </c>
      <c r="F16" s="14" t="str">
        <f t="shared" si="1"/>
        <v>Male Lucknow</v>
      </c>
    </row>
    <row r="17">
      <c r="A17" s="2">
        <v>116.0</v>
      </c>
      <c r="B17" s="3" t="s">
        <v>48</v>
      </c>
      <c r="C17" s="3" t="s">
        <v>10</v>
      </c>
      <c r="D17" s="3" t="s">
        <v>49</v>
      </c>
      <c r="E17" s="3" t="s">
        <v>12</v>
      </c>
      <c r="F17" s="14" t="str">
        <f t="shared" si="1"/>
        <v>Female Indore</v>
      </c>
    </row>
    <row r="18">
      <c r="A18" s="2">
        <v>117.0</v>
      </c>
      <c r="B18" s="3" t="s">
        <v>50</v>
      </c>
      <c r="C18" s="3" t="s">
        <v>6</v>
      </c>
      <c r="D18" s="3" t="s">
        <v>51</v>
      </c>
      <c r="E18" s="3" t="s">
        <v>8</v>
      </c>
      <c r="F18" s="14" t="str">
        <f t="shared" si="1"/>
        <v>Male Patna</v>
      </c>
    </row>
    <row r="19">
      <c r="A19" s="2">
        <v>118.0</v>
      </c>
      <c r="B19" s="3" t="s">
        <v>52</v>
      </c>
      <c r="C19" s="3" t="s">
        <v>10</v>
      </c>
      <c r="D19" s="3" t="s">
        <v>7</v>
      </c>
      <c r="E19" s="3"/>
      <c r="F19" s="14" t="str">
        <f t="shared" si="1"/>
        <v>Female Mumbai</v>
      </c>
    </row>
    <row r="20">
      <c r="A20" s="2">
        <v>119.0</v>
      </c>
      <c r="B20" s="3" t="s">
        <v>53</v>
      </c>
      <c r="C20" s="3" t="s">
        <v>6</v>
      </c>
      <c r="D20" s="3" t="s">
        <v>30</v>
      </c>
      <c r="E20" s="3" t="s">
        <v>18</v>
      </c>
      <c r="F20" s="14" t="str">
        <f t="shared" si="1"/>
        <v>Male Ahmedabad</v>
      </c>
    </row>
    <row r="21">
      <c r="A21" s="2">
        <v>120.0</v>
      </c>
      <c r="B21" s="3" t="s">
        <v>54</v>
      </c>
      <c r="C21" s="3" t="s">
        <v>10</v>
      </c>
      <c r="D21" s="3" t="s">
        <v>55</v>
      </c>
      <c r="E21" s="3" t="s">
        <v>8</v>
      </c>
      <c r="F21" s="14" t="str">
        <f t="shared" si="1"/>
        <v>Female Chennai</v>
      </c>
    </row>
    <row r="22">
      <c r="A22" s="2">
        <v>121.0</v>
      </c>
      <c r="B22" s="3" t="s">
        <v>56</v>
      </c>
      <c r="C22" s="3" t="s">
        <v>6</v>
      </c>
      <c r="D22" s="3" t="s">
        <v>57</v>
      </c>
      <c r="E22" s="3" t="s">
        <v>12</v>
      </c>
      <c r="F22" s="14" t="str">
        <f t="shared" si="1"/>
        <v>Male Jaipur</v>
      </c>
    </row>
    <row r="23">
      <c r="A23" s="2">
        <v>122.0</v>
      </c>
      <c r="B23" s="3" t="s">
        <v>58</v>
      </c>
      <c r="C23" s="3" t="s">
        <v>10</v>
      </c>
      <c r="D23" s="3" t="s">
        <v>51</v>
      </c>
      <c r="E23" s="3" t="s">
        <v>8</v>
      </c>
      <c r="F23" s="14" t="str">
        <f t="shared" si="1"/>
        <v>Female Patna</v>
      </c>
    </row>
    <row r="24">
      <c r="A24" s="2">
        <v>123.0</v>
      </c>
      <c r="B24" s="3" t="s">
        <v>59</v>
      </c>
      <c r="C24" s="3" t="s">
        <v>6</v>
      </c>
      <c r="D24" s="3" t="s">
        <v>15</v>
      </c>
      <c r="E24" s="3" t="s">
        <v>27</v>
      </c>
      <c r="F24" s="14" t="str">
        <f t="shared" si="1"/>
        <v>Male Delhi</v>
      </c>
    </row>
    <row r="25">
      <c r="A25" s="2">
        <v>124.0</v>
      </c>
      <c r="B25" s="3" t="s">
        <v>60</v>
      </c>
      <c r="C25" s="3" t="s">
        <v>10</v>
      </c>
      <c r="D25" s="3" t="s">
        <v>38</v>
      </c>
      <c r="E25" s="3" t="s">
        <v>18</v>
      </c>
      <c r="F25" s="14" t="str">
        <f t="shared" si="1"/>
        <v>Female Bhopal</v>
      </c>
    </row>
    <row r="26">
      <c r="A26" s="2">
        <v>125.0</v>
      </c>
      <c r="B26" s="3" t="s">
        <v>61</v>
      </c>
      <c r="C26" s="3" t="s">
        <v>6</v>
      </c>
      <c r="D26" s="3" t="s">
        <v>62</v>
      </c>
      <c r="E26" s="3" t="s">
        <v>12</v>
      </c>
      <c r="F26" s="14" t="str">
        <f t="shared" si="1"/>
        <v>Male Noida</v>
      </c>
    </row>
    <row r="27">
      <c r="A27" s="2">
        <v>126.0</v>
      </c>
      <c r="B27" s="3" t="s">
        <v>63</v>
      </c>
      <c r="C27" s="3" t="s">
        <v>10</v>
      </c>
      <c r="D27" s="3" t="s">
        <v>11</v>
      </c>
      <c r="E27" s="3" t="s">
        <v>8</v>
      </c>
      <c r="F27" s="14" t="str">
        <f t="shared" si="1"/>
        <v>Female Pune</v>
      </c>
    </row>
    <row r="28">
      <c r="A28" s="2">
        <v>127.0</v>
      </c>
      <c r="B28" s="3" t="s">
        <v>64</v>
      </c>
      <c r="C28" s="3" t="s">
        <v>6</v>
      </c>
      <c r="D28" s="3" t="s">
        <v>7</v>
      </c>
      <c r="E28" s="3" t="s">
        <v>33</v>
      </c>
      <c r="F28" s="14" t="str">
        <f t="shared" si="1"/>
        <v>Male Mumbai</v>
      </c>
    </row>
    <row r="29">
      <c r="A29" s="2">
        <v>128.0</v>
      </c>
      <c r="B29" s="3" t="s">
        <v>65</v>
      </c>
      <c r="C29" s="3" t="s">
        <v>10</v>
      </c>
      <c r="D29" s="3" t="s">
        <v>15</v>
      </c>
      <c r="E29" s="3" t="s">
        <v>12</v>
      </c>
      <c r="F29" s="14" t="str">
        <f t="shared" si="1"/>
        <v>Female Delhi</v>
      </c>
    </row>
    <row r="30">
      <c r="A30" s="2">
        <v>129.0</v>
      </c>
      <c r="B30" s="3" t="s">
        <v>66</v>
      </c>
      <c r="C30" s="3" t="s">
        <v>6</v>
      </c>
      <c r="D30" s="3" t="s">
        <v>67</v>
      </c>
      <c r="E30" s="3" t="s">
        <v>8</v>
      </c>
      <c r="F30" s="14" t="str">
        <f t="shared" si="1"/>
        <v>Male Nashik</v>
      </c>
    </row>
    <row r="31">
      <c r="A31" s="2">
        <v>130.0</v>
      </c>
      <c r="B31" s="3" t="s">
        <v>68</v>
      </c>
      <c r="C31" s="3" t="s">
        <v>10</v>
      </c>
      <c r="D31" s="3" t="s">
        <v>11</v>
      </c>
      <c r="E31" s="3" t="s">
        <v>18</v>
      </c>
      <c r="F31" s="14" t="str">
        <f t="shared" si="1"/>
        <v>Female Pune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6" max="6" width="3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71</v>
      </c>
    </row>
    <row r="2">
      <c r="A2" s="2">
        <v>101.0</v>
      </c>
      <c r="B2" s="15" t="s">
        <v>72</v>
      </c>
      <c r="C2" s="3" t="s">
        <v>6</v>
      </c>
      <c r="D2" s="3" t="s">
        <v>7</v>
      </c>
      <c r="E2" s="3" t="s">
        <v>8</v>
      </c>
      <c r="F2" s="16" t="str">
        <f t="shared" ref="F2:F31" si="1">TRIM(B2)</f>
        <v>Rahul Sharma</v>
      </c>
    </row>
    <row r="3">
      <c r="A3" s="2">
        <v>102.0</v>
      </c>
      <c r="B3" s="15" t="s">
        <v>73</v>
      </c>
      <c r="C3" s="3" t="s">
        <v>10</v>
      </c>
      <c r="D3" s="3" t="s">
        <v>11</v>
      </c>
      <c r="E3" s="3" t="s">
        <v>12</v>
      </c>
      <c r="F3" s="16" t="str">
        <f t="shared" si="1"/>
        <v>Anita Patil</v>
      </c>
    </row>
    <row r="4">
      <c r="A4" s="2">
        <v>103.0</v>
      </c>
      <c r="B4" s="13" t="s">
        <v>26</v>
      </c>
      <c r="C4" s="3" t="s">
        <v>6</v>
      </c>
      <c r="D4" s="3" t="s">
        <v>15</v>
      </c>
      <c r="E4" s="3"/>
      <c r="F4" s="16" t="str">
        <f t="shared" si="1"/>
        <v>Vikas Mehta</v>
      </c>
    </row>
    <row r="5">
      <c r="A5" s="2">
        <v>104.0</v>
      </c>
      <c r="B5" s="15" t="s">
        <v>74</v>
      </c>
      <c r="C5" s="3" t="s">
        <v>10</v>
      </c>
      <c r="D5" s="3" t="s">
        <v>7</v>
      </c>
      <c r="E5" s="3" t="s">
        <v>18</v>
      </c>
      <c r="F5" s="16" t="str">
        <f t="shared" si="1"/>
        <v>Neha Singh</v>
      </c>
    </row>
    <row r="6">
      <c r="A6" s="2">
        <v>105.0</v>
      </c>
      <c r="B6" s="3" t="s">
        <v>19</v>
      </c>
      <c r="C6" s="3" t="s">
        <v>6</v>
      </c>
      <c r="D6" s="3" t="s">
        <v>20</v>
      </c>
      <c r="E6" s="3" t="s">
        <v>21</v>
      </c>
      <c r="F6" s="16" t="str">
        <f t="shared" si="1"/>
        <v>Rohit</v>
      </c>
    </row>
    <row r="7">
      <c r="A7" s="2">
        <v>106.0</v>
      </c>
      <c r="B7" s="15" t="s">
        <v>75</v>
      </c>
      <c r="C7" s="3" t="s">
        <v>10</v>
      </c>
      <c r="D7" s="3" t="s">
        <v>11</v>
      </c>
      <c r="E7" s="3" t="s">
        <v>24</v>
      </c>
      <c r="F7" s="16" t="str">
        <f t="shared" si="1"/>
        <v>Sneha Kulkarni</v>
      </c>
    </row>
    <row r="8">
      <c r="A8" s="2">
        <v>107.0</v>
      </c>
      <c r="B8" s="3" t="s">
        <v>14</v>
      </c>
      <c r="C8" s="3" t="s">
        <v>6</v>
      </c>
      <c r="D8" s="3" t="s">
        <v>15</v>
      </c>
      <c r="E8" s="3" t="s">
        <v>27</v>
      </c>
      <c r="F8" s="16" t="str">
        <f t="shared" si="1"/>
        <v>Amit Verma</v>
      </c>
    </row>
    <row r="9">
      <c r="A9" s="2">
        <v>108.0</v>
      </c>
      <c r="B9" s="3" t="s">
        <v>29</v>
      </c>
      <c r="C9" s="3" t="s">
        <v>10</v>
      </c>
      <c r="D9" s="3" t="s">
        <v>30</v>
      </c>
      <c r="E9" s="3" t="s">
        <v>12</v>
      </c>
      <c r="F9" s="16" t="str">
        <f t="shared" si="1"/>
        <v>Priya Shah</v>
      </c>
    </row>
    <row r="10">
      <c r="A10" s="2">
        <v>109.0</v>
      </c>
      <c r="B10" s="15" t="s">
        <v>76</v>
      </c>
      <c r="C10" s="3" t="s">
        <v>6</v>
      </c>
      <c r="D10" s="3" t="s">
        <v>15</v>
      </c>
      <c r="E10" s="3" t="s">
        <v>33</v>
      </c>
      <c r="F10" s="16" t="str">
        <f t="shared" si="1"/>
        <v>Karan Malhotra</v>
      </c>
    </row>
    <row r="11">
      <c r="A11" s="2">
        <v>110.0</v>
      </c>
      <c r="B11" s="15" t="s">
        <v>77</v>
      </c>
      <c r="C11" s="3" t="s">
        <v>10</v>
      </c>
      <c r="D11" s="3" t="s">
        <v>7</v>
      </c>
      <c r="E11" s="3"/>
      <c r="F11" s="16" t="str">
        <f t="shared" si="1"/>
        <v>Pooja Joshi</v>
      </c>
    </row>
    <row r="12">
      <c r="A12" s="2">
        <v>111.0</v>
      </c>
      <c r="B12" s="3" t="s">
        <v>37</v>
      </c>
      <c r="C12" s="3" t="s">
        <v>6</v>
      </c>
      <c r="D12" s="3" t="s">
        <v>38</v>
      </c>
      <c r="E12" s="3" t="s">
        <v>8</v>
      </c>
      <c r="F12" s="16" t="str">
        <f t="shared" si="1"/>
        <v>Aman Khan</v>
      </c>
    </row>
    <row r="13">
      <c r="A13" s="2">
        <v>112.0</v>
      </c>
      <c r="B13" s="3" t="s">
        <v>39</v>
      </c>
      <c r="C13" s="3" t="s">
        <v>10</v>
      </c>
      <c r="D13" s="3" t="s">
        <v>40</v>
      </c>
      <c r="E13" s="3" t="s">
        <v>12</v>
      </c>
      <c r="F13" s="16" t="str">
        <f t="shared" si="1"/>
        <v>Simran Kaur</v>
      </c>
    </row>
    <row r="14">
      <c r="A14" s="2">
        <v>113.0</v>
      </c>
      <c r="B14" s="15" t="s">
        <v>78</v>
      </c>
      <c r="C14" s="3" t="s">
        <v>6</v>
      </c>
      <c r="D14" s="3"/>
      <c r="E14" s="3" t="s">
        <v>18</v>
      </c>
      <c r="F14" s="16" t="str">
        <f t="shared" si="1"/>
        <v>Nikhil Jain</v>
      </c>
    </row>
    <row r="15">
      <c r="A15" s="2">
        <v>114.0</v>
      </c>
      <c r="B15" s="3" t="s">
        <v>44</v>
      </c>
      <c r="C15" s="3" t="s">
        <v>10</v>
      </c>
      <c r="D15" s="3" t="s">
        <v>15</v>
      </c>
      <c r="E15" s="3" t="s">
        <v>8</v>
      </c>
      <c r="F15" s="16" t="str">
        <f t="shared" si="1"/>
        <v>Riya Gupta</v>
      </c>
    </row>
    <row r="16">
      <c r="A16" s="2">
        <v>115.0</v>
      </c>
      <c r="B16" s="3" t="s">
        <v>46</v>
      </c>
      <c r="C16" s="3" t="s">
        <v>6</v>
      </c>
      <c r="D16" s="3" t="s">
        <v>47</v>
      </c>
      <c r="E16" s="3" t="s">
        <v>27</v>
      </c>
      <c r="F16" s="16" t="str">
        <f t="shared" si="1"/>
        <v>Suresh Yadav</v>
      </c>
    </row>
    <row r="17">
      <c r="A17" s="2">
        <v>116.0</v>
      </c>
      <c r="B17" s="3" t="s">
        <v>48</v>
      </c>
      <c r="C17" s="3" t="s">
        <v>10</v>
      </c>
      <c r="D17" s="3" t="s">
        <v>49</v>
      </c>
      <c r="E17" s="3" t="s">
        <v>12</v>
      </c>
      <c r="F17" s="16" t="str">
        <f t="shared" si="1"/>
        <v>Kavita</v>
      </c>
    </row>
    <row r="18">
      <c r="A18" s="2">
        <v>117.0</v>
      </c>
      <c r="B18" s="3" t="s">
        <v>50</v>
      </c>
      <c r="C18" s="3" t="s">
        <v>6</v>
      </c>
      <c r="D18" s="3" t="s">
        <v>51</v>
      </c>
      <c r="E18" s="3" t="s">
        <v>8</v>
      </c>
      <c r="F18" s="16" t="str">
        <f t="shared" si="1"/>
        <v>Deepak Mishra</v>
      </c>
    </row>
    <row r="19">
      <c r="A19" s="2">
        <v>118.0</v>
      </c>
      <c r="B19" s="3" t="s">
        <v>52</v>
      </c>
      <c r="C19" s="3" t="s">
        <v>10</v>
      </c>
      <c r="D19" s="3" t="s">
        <v>7</v>
      </c>
      <c r="E19" s="3"/>
      <c r="F19" s="16" t="str">
        <f t="shared" si="1"/>
        <v>Shweta</v>
      </c>
    </row>
    <row r="20">
      <c r="A20" s="2">
        <v>119.0</v>
      </c>
      <c r="B20" s="3" t="s">
        <v>53</v>
      </c>
      <c r="C20" s="3" t="s">
        <v>6</v>
      </c>
      <c r="D20" s="3" t="s">
        <v>30</v>
      </c>
      <c r="E20" s="3" t="s">
        <v>18</v>
      </c>
      <c r="F20" s="16" t="str">
        <f t="shared" si="1"/>
        <v>Arjun Patel</v>
      </c>
    </row>
    <row r="21">
      <c r="A21" s="2">
        <v>120.0</v>
      </c>
      <c r="B21" s="3" t="s">
        <v>54</v>
      </c>
      <c r="C21" s="3" t="s">
        <v>10</v>
      </c>
      <c r="D21" s="3" t="s">
        <v>55</v>
      </c>
      <c r="E21" s="3" t="s">
        <v>8</v>
      </c>
      <c r="F21" s="16" t="str">
        <f t="shared" si="1"/>
        <v>Meena Iyer</v>
      </c>
    </row>
    <row r="22">
      <c r="A22" s="2">
        <v>121.0</v>
      </c>
      <c r="B22" s="3" t="s">
        <v>56</v>
      </c>
      <c r="C22" s="3" t="s">
        <v>6</v>
      </c>
      <c r="D22" s="3" t="s">
        <v>57</v>
      </c>
      <c r="E22" s="3" t="s">
        <v>12</v>
      </c>
      <c r="F22" s="16" t="str">
        <f t="shared" si="1"/>
        <v>Rakesh</v>
      </c>
    </row>
    <row r="23">
      <c r="A23" s="2">
        <v>122.0</v>
      </c>
      <c r="B23" s="3" t="s">
        <v>58</v>
      </c>
      <c r="C23" s="3" t="s">
        <v>10</v>
      </c>
      <c r="D23" s="3" t="s">
        <v>51</v>
      </c>
      <c r="E23" s="3" t="s">
        <v>8</v>
      </c>
      <c r="F23" s="16" t="str">
        <f t="shared" si="1"/>
        <v>Sunita Devi</v>
      </c>
    </row>
    <row r="24">
      <c r="A24" s="2">
        <v>123.0</v>
      </c>
      <c r="B24" s="3" t="s">
        <v>59</v>
      </c>
      <c r="C24" s="3" t="s">
        <v>6</v>
      </c>
      <c r="D24" s="3" t="s">
        <v>15</v>
      </c>
      <c r="E24" s="3" t="s">
        <v>27</v>
      </c>
      <c r="F24" s="16" t="str">
        <f t="shared" si="1"/>
        <v>Manish</v>
      </c>
    </row>
    <row r="25">
      <c r="A25" s="2">
        <v>124.0</v>
      </c>
      <c r="B25" s="3" t="s">
        <v>60</v>
      </c>
      <c r="C25" s="3" t="s">
        <v>10</v>
      </c>
      <c r="D25" s="3" t="s">
        <v>38</v>
      </c>
      <c r="E25" s="3" t="s">
        <v>18</v>
      </c>
      <c r="F25" s="16" t="str">
        <f t="shared" si="1"/>
        <v>Alka</v>
      </c>
    </row>
    <row r="26">
      <c r="A26" s="2">
        <v>125.0</v>
      </c>
      <c r="B26" s="3" t="s">
        <v>61</v>
      </c>
      <c r="C26" s="3" t="s">
        <v>6</v>
      </c>
      <c r="D26" s="3" t="s">
        <v>62</v>
      </c>
      <c r="E26" s="3" t="s">
        <v>12</v>
      </c>
      <c r="F26" s="16" t="str">
        <f t="shared" si="1"/>
        <v>Vinod Kumar</v>
      </c>
    </row>
    <row r="27">
      <c r="A27" s="2">
        <v>126.0</v>
      </c>
      <c r="B27" s="3" t="s">
        <v>63</v>
      </c>
      <c r="C27" s="3" t="s">
        <v>10</v>
      </c>
      <c r="D27" s="3" t="s">
        <v>11</v>
      </c>
      <c r="E27" s="3" t="s">
        <v>8</v>
      </c>
      <c r="F27" s="16" t="str">
        <f t="shared" si="1"/>
        <v>Pallavi</v>
      </c>
    </row>
    <row r="28">
      <c r="A28" s="2">
        <v>127.0</v>
      </c>
      <c r="B28" s="3" t="s">
        <v>64</v>
      </c>
      <c r="C28" s="3" t="s">
        <v>6</v>
      </c>
      <c r="D28" s="3" t="s">
        <v>7</v>
      </c>
      <c r="E28" s="3" t="s">
        <v>33</v>
      </c>
      <c r="F28" s="16" t="str">
        <f t="shared" si="1"/>
        <v>Harsh</v>
      </c>
    </row>
    <row r="29">
      <c r="A29" s="2">
        <v>128.0</v>
      </c>
      <c r="B29" s="3" t="s">
        <v>65</v>
      </c>
      <c r="C29" s="3" t="s">
        <v>10</v>
      </c>
      <c r="D29" s="3" t="s">
        <v>15</v>
      </c>
      <c r="E29" s="3" t="s">
        <v>12</v>
      </c>
      <c r="F29" s="16" t="str">
        <f t="shared" si="1"/>
        <v>Naina</v>
      </c>
    </row>
    <row r="30">
      <c r="A30" s="2">
        <v>129.0</v>
      </c>
      <c r="B30" s="3" t="s">
        <v>66</v>
      </c>
      <c r="C30" s="3" t="s">
        <v>6</v>
      </c>
      <c r="D30" s="3" t="s">
        <v>67</v>
      </c>
      <c r="E30" s="3" t="s">
        <v>8</v>
      </c>
      <c r="F30" s="16" t="str">
        <f t="shared" si="1"/>
        <v>Yogesh</v>
      </c>
    </row>
    <row r="31">
      <c r="A31" s="2">
        <v>130.0</v>
      </c>
      <c r="B31" s="3" t="s">
        <v>68</v>
      </c>
      <c r="C31" s="3" t="s">
        <v>10</v>
      </c>
      <c r="D31" s="3" t="s">
        <v>11</v>
      </c>
      <c r="E31" s="3" t="s">
        <v>18</v>
      </c>
      <c r="F31" s="16" t="str">
        <f t="shared" si="1"/>
        <v>Aarti</v>
      </c>
    </row>
    <row r="32">
      <c r="F32" s="16"/>
    </row>
    <row r="33">
      <c r="F33" s="16"/>
    </row>
    <row r="34">
      <c r="F34" s="16"/>
    </row>
    <row r="35">
      <c r="F35" s="16"/>
    </row>
    <row r="36">
      <c r="F36" s="16"/>
    </row>
    <row r="37">
      <c r="F37" s="16"/>
    </row>
    <row r="38">
      <c r="F38" s="16"/>
    </row>
  </sheetData>
  <drawing r:id="rId1"/>
</worksheet>
</file>